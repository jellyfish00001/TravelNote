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曼谷行程心願清單" sheetId="1" r:id="rId5"/>
    <sheet state="visible" name="影音參考" sheetId="2" r:id="rId6"/>
  </sheets>
  <definedNames/>
  <calcPr/>
</workbook>
</file>

<file path=xl/sharedStrings.xml><?xml version="1.0" encoding="utf-8"?>
<sst xmlns="http://schemas.openxmlformats.org/spreadsheetml/2006/main" count="81" uniqueCount="58">
  <si>
    <t>項次</t>
  </si>
  <si>
    <t>影片標題</t>
  </si>
  <si>
    <t>發布時間</t>
  </si>
  <si>
    <t>影片完整連結</t>
  </si>
  <si>
    <t>🇹🇭 曼谷自由行心願清單</t>
  </si>
  <si>
    <t>【泰國曼谷】4天3夜自由行懶人包，新手出發前必看！機場交通與景點規劃</t>
  </si>
  <si>
    <t>https://www.youtube.com/watch?v=9hKaceftaNI</t>
  </si>
  <si>
    <t>泰國曼谷自由行攻略懶人包 10天9夜行程規劃（曼谷美食、景點、住宿）</t>
  </si>
  <si>
    <t>https://www.youtube.com/watch?v=C0sHVOA75Ng</t>
  </si>
  <si>
    <t>曼谷旅遊 在地人的私藏行程！觀光客還不知道的新地方</t>
  </si>
  <si>
    <t>https://www.youtube.com/watch?v=bFYqNQKOh0I</t>
  </si>
  <si>
    <t>曼谷旅遊2026｜平價爽玩全攻略！日式海鮮吃到飽、設計風泳池飯店</t>
  </si>
  <si>
    <t>https://www.youtube.com/watch?v=v4VDDaQ7QN8</t>
  </si>
  <si>
    <t>2024曼谷自由行｜泰國「免簽」4天3夜全攻略！11景點：鄭王廟拍泰服</t>
  </si>
  <si>
    <t>https://www.youtube.com/watch?v=aaTRaUvsx6Q</t>
  </si>
  <si>
    <t>類別</t>
  </si>
  <si>
    <t>名稱 / 地點</t>
  </si>
  <si>
    <t>參考資料來源</t>
  </si>
  <si>
    <t>備註</t>
  </si>
  <si>
    <t>住宿</t>
  </si>
  <si>
    <t>曼谷自由行 七家必吃美食攻略！牛肉湯之王 隱藏無名咖哩蝦</t>
  </si>
  <si>
    <t>https://www.youtube.com/watch?v=KhOZoQyAHl8</t>
  </si>
  <si>
    <t>【曼谷自由行2026】 第一次去曼谷必睇！臥佛寺必看位 + 曼谷平價美食</t>
  </si>
  <si>
    <t>https://www.youtube.com/watch?v=UCplVPa42Qo</t>
  </si>
  <si>
    <t>【泰國旅遊】曼谷Cloud 11新地標正式開幕！5樓空中花園超大片草地</t>
  </si>
  <si>
    <t>https://www.youtube.com/watch?v=Jkq2USyHB2s</t>
  </si>
  <si>
    <t>[link removed]</t>
  </si>
  <si>
    <t>阿里文青區（Phaya Thai，近 BTS Ari 站）</t>
  </si>
  <si>
    <t>[suspicious link removed]</t>
  </si>
  <si>
    <t>通羅商圈（近 BTS Thong Lo 站，車程約 10 分鐘 / 專車接送）</t>
  </si>
  <si>
    <t>曼谷市區精品泳池飯店（近市中心）</t>
  </si>
  <si>
    <t>芭達雅市區 / 海濱周邊優質住宿</t>
  </si>
  <si>
    <t>頂級景觀泳池住宿（近商圈）</t>
  </si>
  <si>
    <t>美食</t>
  </si>
  <si>
    <t>https://maps.app.goo.gl/c2Z52XTVBqHTXTZv7?g_st=ic</t>
  </si>
  <si>
    <t>曼谷市區高空景觀酒吧餐廳</t>
  </si>
  <si>
    <t>https://www.instagram.com/reel/DO0cByCk4_o/?igsh=MnN3b2xlZDgzaGJw</t>
  </si>
  <si>
    <t>通羅潮流區（T-One 大樓 46 樓，近 BTS Thong Lo 站）</t>
  </si>
  <si>
    <t>素坤逸南區（Cloud 11 空中花園，近 BTS Punnawithi 站）</t>
  </si>
  <si>
    <t>峇里島風海濱夕陽景觀餐廳（Google 地圖導航）</t>
  </si>
  <si>
    <t>極簡風鳥巢餐廳（Google 地圖導航）</t>
  </si>
  <si>
    <t>藍色懶骨頭夕陽墾丁感餐廳（Google 地圖導航）</t>
  </si>
  <si>
    <t>景點</t>
  </si>
  <si>
    <t>https://www.instagram.com/reel/C104syHPBWT/?stkn=a3NzZXBubmhqZW9s</t>
  </si>
  <si>
    <t>芭達雅近郊大象友善生態營（Elephant Jungle Sanctuary）</t>
  </si>
  <si>
    <t>https://www.instagram.com/reel/DOdc5yNE1Yh/?stkn=MWl6bjBhOWFwN3Znbw==</t>
  </si>
  <si>
    <t>芭達雅東部近郊（ATV Adventure Pattaya 越野基地）</t>
  </si>
  <si>
    <t>https://www.instagram.com/reel/DRblB5iiQps/?igsi=MTJ4YWIyb2FqcnFzNA==</t>
  </si>
  <si>
    <t>拉卡邦區（鱷魚頭水上市場 Si Yaek Huatakhe，近素萬那普機場）</t>
  </si>
  <si>
    <t>芭達雅熱門商圈（芭達雅海濱路 / 步行街商圈）</t>
  </si>
  <si>
    <t>https://www.instagram.com/reel/DWvNxBOge04/?igsh=MXJ5a2d0Z2YzOG4xNA==</t>
  </si>
  <si>
    <t>昭披耶河畔（ICONSIAM 暹羅天地碼頭登船，近 BTS Charoen Nakhon 站）</t>
  </si>
  <si>
    <t>https://www.instagram.com/reel/CtJqDodNQIv/?igsh=MW85bTFzNGluaThmeg==</t>
  </si>
  <si>
    <t>北碧府野生動物園（Safari Park Open Zoo，曼谷出發車程約 2.5 小時）</t>
  </si>
  <si>
    <t>https://www.instagram.com/reel/DUpmf4LAckp/?igsh=MWg0cGo3MHZ2NDVqdQ==</t>
  </si>
  <si>
    <t>暹羅購物核心商圈（BTS Siam 站直通 Siam Paragon / Siam Square）</t>
  </si>
  <si>
    <t>https://maps.app.goo.gl/JY5atnbnaDCt6mBQA?g_st=ic</t>
  </si>
  <si>
    <t>素坤逸新聚落（Cloud 11 綠意創新地標，近 BTS Punnawithi 站）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</si>
</sst>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b/>
      <sz val="10.0"/>
      <color rgb="FFFFFFFF"/>
      <name val="Google Sans"/>
    </font>
    <font>
      <sz val="10.0"/>
      <color theme="1"/>
      <name val="Google Sans"/>
    </font>
    <font>
      <b/>
      <sz val="13.0"/>
      <color rgb="FFFFFFFF"/>
      <name val="Google Sans"/>
    </font>
    <font>
      <sz val="10.0"/>
      <color rgb="FF212121"/>
      <name val="Google Sans"/>
    </font>
    <font>
      <u/>
      <sz val="10.0"/>
      <color rgb="FF0000FF"/>
      <name val="Google Sans"/>
    </font>
    <font>
      <u/>
      <sz val="10.0"/>
      <color rgb="FF1966CC"/>
      <name val="Google Sans"/>
    </font>
    <font>
      <u/>
      <sz val="9.0"/>
      <color rgb="FF1966CC"/>
      <name val="Google Sans"/>
    </font>
    <font>
      <u/>
      <sz val="9.0"/>
      <color rgb="FF1966CC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196B63"/>
        <bgColor rgb="FF196B63"/>
      </patternFill>
    </fill>
    <fill>
      <patternFill patternType="solid">
        <fgColor rgb="FF0C4C47"/>
        <bgColor rgb="FF0C4C47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ADCDF"/>
      </left>
      <right style="thin">
        <color rgb="FFDADCDF"/>
      </right>
      <top style="thin">
        <color rgb="FFDADCDF"/>
      </top>
      <bottom style="thin">
        <color rgb="FFDADCDF"/>
      </bottom>
    </border>
    <border>
      <left style="thin">
        <color rgb="FFEAEAEA"/>
      </left>
      <right style="thin">
        <color rgb="FFEAEAEA"/>
      </right>
      <top style="thin">
        <color rgb="FF0C4C47"/>
      </top>
      <bottom style="thin">
        <color rgb="FFE5E5E5"/>
      </bottom>
    </border>
    <border>
      <left style="thin">
        <color rgb="FFEAEAEA"/>
      </left>
      <right style="thin">
        <color rgb="FFCCCCCC"/>
      </right>
      <top style="thin">
        <color rgb="FF0C4C47"/>
      </top>
      <bottom style="thin">
        <color rgb="FFE5E5E5"/>
      </bottom>
    </border>
    <border>
      <left style="thin">
        <color rgb="FFEAEAEA"/>
      </left>
      <right style="thin">
        <color rgb="FFEAEAEA"/>
      </right>
      <top style="thin">
        <color rgb="FFE5E5E5"/>
      </top>
      <bottom style="thin">
        <color rgb="FFE5E5E5"/>
      </bottom>
    </border>
    <border>
      <left style="thin">
        <color rgb="FFEAEAEA"/>
      </left>
      <right style="thin">
        <color rgb="FFCCCCCC"/>
      </right>
      <top style="thin">
        <color rgb="FFE5E5E5"/>
      </top>
      <bottom style="thin">
        <color rgb="FFE5E5E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0" fillId="4" fontId="4" numFmtId="0" xfId="0" applyAlignment="1" applyFill="1" applyFont="1">
      <alignment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ill="1" applyFont="1">
      <alignment horizontal="left" readingOrder="0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aTRaUvsx6Q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0.13"/>
    <col customWidth="1" min="4" max="4" width="35.13"/>
    <col customWidth="1" min="5" max="5" width="12.63"/>
    <col customWidth="1" min="6" max="6" width="22.63"/>
    <col customWidth="1" min="7" max="7" width="12.63"/>
    <col customWidth="1" min="8" max="8" width="30.13"/>
    <col customWidth="1" min="9" max="9" width="13.88"/>
  </cols>
  <sheetData>
    <row r="1" ht="27.0" customHeight="1">
      <c r="A1" s="3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0" customHeight="1">
      <c r="A2" s="7" t="s">
        <v>15</v>
      </c>
      <c r="B2" s="7" t="s">
        <v>16</v>
      </c>
      <c r="C2" s="7" t="s">
        <v>17</v>
      </c>
      <c r="D2" s="8" t="s">
        <v>18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0" t="s">
        <v>19</v>
      </c>
      <c r="B3" s="11" t="str">
        <f>HYPERLINK("[link removed]", "曼谷工匠飯店 （有酒吧 看起來很像模擬市民） Craftsman")</f>
        <v>曼谷工匠飯店 （有酒吧 看起來很像模擬市民） Craftsman</v>
      </c>
      <c r="C3" s="12" t="s">
        <v>26</v>
      </c>
      <c r="D3" s="13" t="s">
        <v>27</v>
      </c>
      <c r="F3" s="14"/>
      <c r="G3" s="15"/>
      <c r="H3" s="14"/>
      <c r="I3" s="1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0" t="s">
        <v>19</v>
      </c>
      <c r="B4" s="11" t="str">
        <f>HYPERLINK("[suspicious link removed]", "曼谷（有專車接送 離通羅站10分鐘會經過7-11及小攤販 有露天游泳池）")</f>
        <v>曼谷（有專車接送 離通羅站10分鐘會經過7-11及小攤販 有露天游泳池）</v>
      </c>
      <c r="C4" s="12" t="s">
        <v>28</v>
      </c>
      <c r="D4" s="13" t="s">
        <v>29</v>
      </c>
      <c r="F4" s="14"/>
      <c r="G4" s="15"/>
      <c r="H4" s="14"/>
      <c r="I4" s="1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0" t="s">
        <v>19</v>
      </c>
      <c r="B5" s="11" t="str">
        <f>HYPERLINK("[suspicious link removed]", "曼谷 紅色浪漫泳池 真漂亮但有夠貴")</f>
        <v>曼谷 紅色浪漫泳池 真漂亮但有夠貴</v>
      </c>
      <c r="C5" s="12" t="s">
        <v>28</v>
      </c>
      <c r="D5" s="13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0" t="s">
        <v>19</v>
      </c>
      <c r="B6" s="11" t="str">
        <f>HYPERLINK("[link removed]", "芭達雅 我表哥推薦的住宿？")</f>
        <v>芭達雅 我表哥推薦的住宿？</v>
      </c>
      <c r="C6" s="12" t="s">
        <v>26</v>
      </c>
      <c r="D6" s="13" t="s">
        <v>31</v>
      </c>
      <c r="F6" s="15"/>
      <c r="G6" s="15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0" t="s">
        <v>19</v>
      </c>
      <c r="B7" s="11" t="str">
        <f>HYPERLINK("[link removed]", "泳池很頂住宿普通")</f>
        <v>泳池很頂住宿普通</v>
      </c>
      <c r="C7" s="12" t="s">
        <v>26</v>
      </c>
      <c r="D7" s="13" t="s">
        <v>32</v>
      </c>
      <c r="F7" s="16"/>
      <c r="G7" s="16"/>
      <c r="H7" s="1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0" t="s">
        <v>33</v>
      </c>
      <c r="B8" s="11" t="str">
        <f>HYPERLINK("https://maps.app.goo.gl/c2Z52XTVBqHTXTZv7?g_st=ic", "高空酒吧餐廳超讚約起來")</f>
        <v>高空酒吧餐廳超讚約起來</v>
      </c>
      <c r="C8" s="17" t="s">
        <v>34</v>
      </c>
      <c r="D8" s="13" t="s">
        <v>35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0" t="s">
        <v>33</v>
      </c>
      <c r="B9" s="11" t="str">
        <f>HYPERLINK("[link removed]", "高空酒吧")</f>
        <v>高空酒吧</v>
      </c>
      <c r="C9" s="12" t="s">
        <v>36</v>
      </c>
      <c r="D9" s="13" t="s">
        <v>37</v>
      </c>
      <c r="F9" s="15"/>
      <c r="G9" s="15"/>
      <c r="H9" s="15"/>
      <c r="I9" s="1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0" t="s">
        <v>33</v>
      </c>
      <c r="B10" s="11" t="str">
        <f>HYPERLINK("[link removed]", "文藝感空中咖啡廳")</f>
        <v>文藝感空中咖啡廳</v>
      </c>
      <c r="C10" s="12" t="s">
        <v>26</v>
      </c>
      <c r="D10" s="13" t="s">
        <v>38</v>
      </c>
      <c r="F10" s="14"/>
      <c r="G10" s="15"/>
      <c r="H10" s="14"/>
      <c r="I10" s="1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0" t="s">
        <v>33</v>
      </c>
      <c r="B11" s="11" t="str">
        <f>HYPERLINK("[link removed]", "夕陽晚餐峇里島風")</f>
        <v>夕陽晚餐峇里島風</v>
      </c>
      <c r="C11" s="17" t="s">
        <v>26</v>
      </c>
      <c r="D11" s="13" t="s">
        <v>39</v>
      </c>
      <c r="F11" s="14"/>
      <c r="G11" s="15"/>
      <c r="H11" s="14"/>
      <c r="I11" s="1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0" t="s">
        <v>33</v>
      </c>
      <c r="B12" s="11" t="str">
        <f>HYPERLINK("[link removed]", "極簡風鳥巢餐廳")</f>
        <v>極簡風鳥巢餐廳</v>
      </c>
      <c r="C12" s="17" t="s">
        <v>26</v>
      </c>
      <c r="D12" s="13" t="s">
        <v>40</v>
      </c>
      <c r="F12" s="14"/>
      <c r="G12" s="15"/>
      <c r="H12" s="14"/>
      <c r="I12" s="1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0" t="s">
        <v>33</v>
      </c>
      <c r="B13" s="11" t="str">
        <f>HYPERLINK("[link removed]", "藍色懶骨頭夕陽墾丁感餐廳")</f>
        <v>藍色懶骨頭夕陽墾丁感餐廳</v>
      </c>
      <c r="C13" s="17" t="s">
        <v>26</v>
      </c>
      <c r="D13" s="13" t="s">
        <v>41</v>
      </c>
      <c r="F13" s="14"/>
      <c r="G13" s="15"/>
      <c r="H13" s="14"/>
      <c r="I13" s="1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0" t="s">
        <v>42</v>
      </c>
      <c r="B14" s="11" t="str">
        <f>HYPERLINK("[link removed]", "洗大象 (大象)")</f>
        <v>洗大象 (大象)</v>
      </c>
      <c r="C14" s="17" t="s">
        <v>43</v>
      </c>
      <c r="D14" s="13" t="s">
        <v>44</v>
      </c>
      <c r="F14" s="18"/>
      <c r="G14" s="16"/>
      <c r="H14" s="18"/>
      <c r="I14" s="1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0" t="s">
        <v>42</v>
      </c>
      <c r="B15" s="11" t="str">
        <f>HYPERLINK("[link removed]", "巴達雅沙灘車")</f>
        <v>巴達雅沙灘車</v>
      </c>
      <c r="C15" s="17" t="s">
        <v>45</v>
      </c>
      <c r="D15" s="13" t="s">
        <v>46</v>
      </c>
      <c r="F15" s="18"/>
      <c r="G15" s="16"/>
      <c r="H15" s="18"/>
      <c r="I15" s="1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0" t="s">
        <v>42</v>
      </c>
      <c r="B16" s="11" t="str">
        <f>HYPERLINK("[link removed]", "泰國貓貓船")</f>
        <v>泰國貓貓船</v>
      </c>
      <c r="C16" s="17" t="s">
        <v>47</v>
      </c>
      <c r="D16" s="13" t="s">
        <v>48</v>
      </c>
      <c r="F16" s="18"/>
      <c r="G16" s="16"/>
      <c r="H16" s="18"/>
      <c r="I16" s="1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2.5" customHeight="1">
      <c r="A17" s="10" t="s">
        <v>42</v>
      </c>
      <c r="B17" s="11" t="str">
        <f>HYPERLINK("[link removed]", "芭達雅男模👍")</f>
        <v>芭達雅男模👍</v>
      </c>
      <c r="C17" s="17"/>
      <c r="D17" s="13" t="s">
        <v>49</v>
      </c>
      <c r="F17" s="18"/>
      <c r="G17" s="16"/>
      <c r="H17" s="18"/>
      <c r="I17" s="1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2.5" customHeight="1">
      <c r="A18" s="10" t="s">
        <v>42</v>
      </c>
      <c r="B18" s="11" t="str">
        <f>HYPERLINK("[link removed]", "曼谷浪漫游船")</f>
        <v>曼谷浪漫游船</v>
      </c>
      <c r="C18" s="17" t="s">
        <v>50</v>
      </c>
      <c r="D18" s="13" t="s">
        <v>51</v>
      </c>
      <c r="F18" s="18"/>
      <c r="G18" s="16"/>
      <c r="H18" s="18"/>
      <c r="I18" s="1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0" t="s">
        <v>42</v>
      </c>
      <c r="B19" s="11" t="str">
        <f>HYPERLINK("[link removed]", "洗大象餵老虎")</f>
        <v>洗大象餵老虎</v>
      </c>
      <c r="C19" s="17" t="s">
        <v>52</v>
      </c>
      <c r="D19" s="13" t="s">
        <v>53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0" t="s">
        <v>42</v>
      </c>
      <c r="B20" s="11" t="str">
        <f>HYPERLINK("[link removed]", "星羅")</f>
        <v>星羅</v>
      </c>
      <c r="C20" s="12" t="s">
        <v>54</v>
      </c>
      <c r="D20" s="13" t="s">
        <v>55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0" t="s">
        <v>42</v>
      </c>
      <c r="B21" s="11" t="str">
        <f>HYPERLINK("[link removed]", "曼谷")</f>
        <v>曼谷</v>
      </c>
      <c r="C21" s="12" t="s">
        <v>56</v>
      </c>
      <c r="D21" s="13" t="s">
        <v>57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</sheetData>
  <mergeCells count="1">
    <mergeCell ref="A1:D1"/>
  </mergeCells>
  <dataValidations>
    <dataValidation type="list" allowBlank="1" sqref="A3:A21">
      <formula1>"景點,住宿,美食"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52.63"/>
    <col customWidth="1" min="3" max="3" width="13.88"/>
    <col customWidth="1" min="4" max="4" width="47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4.0" customHeight="1">
      <c r="A2" s="2">
        <v>1.0</v>
      </c>
      <c r="B2" s="4" t="s">
        <v>5</v>
      </c>
      <c r="C2" s="5">
        <v>45554.0</v>
      </c>
      <c r="D2" s="4" t="s">
        <v>6</v>
      </c>
    </row>
    <row r="3" ht="24.0" customHeight="1">
      <c r="A3" s="2">
        <v>2.0</v>
      </c>
      <c r="B3" s="4" t="s">
        <v>7</v>
      </c>
      <c r="C3" s="5">
        <v>45414.0</v>
      </c>
      <c r="D3" s="4" t="s">
        <v>8</v>
      </c>
    </row>
    <row r="4" ht="24.0" customHeight="1">
      <c r="A4" s="2">
        <v>3.0</v>
      </c>
      <c r="B4" s="4" t="s">
        <v>9</v>
      </c>
      <c r="C4" s="5">
        <v>45781.0</v>
      </c>
      <c r="D4" s="4" t="s">
        <v>10</v>
      </c>
    </row>
    <row r="5" ht="24.0" customHeight="1">
      <c r="A5" s="2">
        <v>4.0</v>
      </c>
      <c r="B5" s="4" t="s">
        <v>11</v>
      </c>
      <c r="C5" s="5">
        <v>46147.0</v>
      </c>
      <c r="D5" s="4" t="s">
        <v>12</v>
      </c>
    </row>
    <row r="6" ht="24.0" customHeight="1">
      <c r="A6" s="2">
        <v>5.0</v>
      </c>
      <c r="B6" s="4" t="s">
        <v>13</v>
      </c>
      <c r="C6" s="5">
        <v>45549.0</v>
      </c>
      <c r="D6" s="9" t="s">
        <v>14</v>
      </c>
    </row>
    <row r="7" ht="24.0" customHeight="1">
      <c r="A7" s="2">
        <v>6.0</v>
      </c>
      <c r="B7" s="4" t="s">
        <v>20</v>
      </c>
      <c r="C7" s="5">
        <v>46024.0</v>
      </c>
      <c r="D7" s="4" t="s">
        <v>21</v>
      </c>
    </row>
    <row r="8" ht="24.0" customHeight="1">
      <c r="A8" s="2">
        <v>7.0</v>
      </c>
      <c r="B8" s="4" t="s">
        <v>22</v>
      </c>
      <c r="C8" s="5">
        <v>46087.0</v>
      </c>
      <c r="D8" s="4" t="s">
        <v>23</v>
      </c>
    </row>
    <row r="9" ht="24.0" customHeight="1">
      <c r="A9" s="2">
        <v>8.0</v>
      </c>
      <c r="B9" s="4" t="s">
        <v>24</v>
      </c>
      <c r="C9" s="5">
        <v>46248.0</v>
      </c>
      <c r="D9" s="4" t="s">
        <v>25</v>
      </c>
    </row>
  </sheetData>
  <hyperlinks>
    <hyperlink r:id="rId1" ref="D6"/>
  </hyperlinks>
  <drawing r:id="rId2"/>
</worksheet>
</file>